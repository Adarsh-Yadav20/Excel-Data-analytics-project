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welcome\OneDrive\Desktop\"/>
    </mc:Choice>
  </mc:AlternateContent>
  <xr:revisionPtr revIDLastSave="0" documentId="13_ncr:1_{5C62A905-5BD5-4A65-812C-13124E5EA3E3}" xr6:coauthVersionLast="47" xr6:coauthVersionMax="47" xr10:uidLastSave="{00000000-0000-0000-0000-000000000000}"/>
  <bookViews>
    <workbookView xWindow="-120" yWindow="-120" windowWidth="20730" windowHeight="11160" activeTab="1" xr2:uid="{07583BC0-F8C4-4693-B7DE-A091193CDA6E}"/>
  </bookViews>
  <sheets>
    <sheet name="Region Sales" sheetId="2" r:id="rId1"/>
    <sheet name="Dashboard" sheetId="6" r:id="rId2"/>
    <sheet name="Product Sales" sheetId="3" r:id="rId3"/>
    <sheet name="Category Profit" sheetId="4" r:id="rId4"/>
    <sheet name="Region Profit" sheetId="5" r:id="rId5"/>
    <sheet name="Sales Data" sheetId="1" r:id="rId6"/>
  </sheets>
  <definedNames>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1" l="1"/>
  <c r="O5" i="1"/>
  <c r="O3" i="1"/>
  <c r="O2" i="1"/>
  <c r="J2" i="1"/>
  <c r="J3" i="1"/>
  <c r="K3" i="1" s="1"/>
  <c r="J4" i="1"/>
  <c r="K4" i="1" s="1"/>
  <c r="J5" i="1"/>
  <c r="K5" i="1" s="1"/>
  <c r="J6" i="1"/>
  <c r="K6" i="1" s="1"/>
  <c r="J7" i="1"/>
  <c r="K7" i="1" s="1"/>
  <c r="J8" i="1"/>
  <c r="K8" i="1" s="1"/>
  <c r="J9" i="1"/>
  <c r="K9" i="1" s="1"/>
  <c r="J10" i="1"/>
  <c r="K10" i="1" s="1"/>
  <c r="J11" i="1"/>
  <c r="K11" i="1" s="1"/>
  <c r="J12" i="1"/>
  <c r="K12" i="1" s="1"/>
  <c r="J13" i="1"/>
  <c r="K13" i="1" s="1"/>
  <c r="O4" i="1" l="1"/>
  <c r="K2" i="1"/>
</calcChain>
</file>

<file path=xl/sharedStrings.xml><?xml version="1.0" encoding="utf-8"?>
<sst xmlns="http://schemas.openxmlformats.org/spreadsheetml/2006/main" count="112" uniqueCount="59">
  <si>
    <t>ORDER ID</t>
  </si>
  <si>
    <t>CUSTOMER</t>
  </si>
  <si>
    <t>REGION</t>
  </si>
  <si>
    <t>PRODUCT</t>
  </si>
  <si>
    <t>CATEGORY</t>
  </si>
  <si>
    <t>QUANTITY</t>
  </si>
  <si>
    <t>SALES</t>
  </si>
  <si>
    <t>COST</t>
  </si>
  <si>
    <t>ORD001</t>
  </si>
  <si>
    <t>ORD002</t>
  </si>
  <si>
    <t>ORD003</t>
  </si>
  <si>
    <t>ORD004</t>
  </si>
  <si>
    <t>ORD005</t>
  </si>
  <si>
    <t>ORD006</t>
  </si>
  <si>
    <t>ORD007</t>
  </si>
  <si>
    <t>ORD008</t>
  </si>
  <si>
    <t>ORD009</t>
  </si>
  <si>
    <t>ORD010</t>
  </si>
  <si>
    <t>ORD011</t>
  </si>
  <si>
    <t>ORD012</t>
  </si>
  <si>
    <t>ORDER DATE</t>
  </si>
  <si>
    <t>RAHUL</t>
  </si>
  <si>
    <t>PRIYA</t>
  </si>
  <si>
    <t>AMIT</t>
  </si>
  <si>
    <t>NEHA</t>
  </si>
  <si>
    <t>ROHIT</t>
  </si>
  <si>
    <t>POOJA</t>
  </si>
  <si>
    <t>AMAN</t>
  </si>
  <si>
    <t>SNEHA</t>
  </si>
  <si>
    <t>KARAN</t>
  </si>
  <si>
    <t>ANJALI</t>
  </si>
  <si>
    <t>VIVEK</t>
  </si>
  <si>
    <t>SIMRAN</t>
  </si>
  <si>
    <t>NORTH</t>
  </si>
  <si>
    <t>SOUTH</t>
  </si>
  <si>
    <t>WEST</t>
  </si>
  <si>
    <t>EAST</t>
  </si>
  <si>
    <t>LAPTOP</t>
  </si>
  <si>
    <t>MOUSE</t>
  </si>
  <si>
    <t>KEYBOARD</t>
  </si>
  <si>
    <t>MONITOR</t>
  </si>
  <si>
    <t>ELECTRONICS</t>
  </si>
  <si>
    <t>ACCESSORIES</t>
  </si>
  <si>
    <t>PROFIT</t>
  </si>
  <si>
    <t>PROFIT%</t>
  </si>
  <si>
    <t>KPI</t>
  </si>
  <si>
    <t>TOTAL SALES</t>
  </si>
  <si>
    <t>TOTAL COST</t>
  </si>
  <si>
    <t>TOTAL PROFIT</t>
  </si>
  <si>
    <t>TOTAL ORDERS</t>
  </si>
  <si>
    <t>AVERAGE SALES</t>
  </si>
  <si>
    <t>VALUE</t>
  </si>
  <si>
    <t>Row Labels</t>
  </si>
  <si>
    <t>Grand Total</t>
  </si>
  <si>
    <t>Sum of SALES</t>
  </si>
  <si>
    <t>Sum of PROFIT</t>
  </si>
  <si>
    <t>SALES &amp; BUSINESS PERFORMANCE DASHBOARD</t>
  </si>
  <si>
    <t>Value</t>
  </si>
  <si>
    <t>Sales Analysis | January-March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</si>
</sst>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8" x14ac:knownFonts="1">
    <font>
      <sz val="11"/>
      <color theme="1"/>
      <name val="Calibri"/>
      <family val="2"/>
      <scheme val="minor"/>
    </font>
    <font>
      <b/>
      <sz val="11"/>
      <color theme="0" tint="-4.9989318521683403E-2"/>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theme="1"/>
      <name val="Arial Unicode MS"/>
      <family val="2"/>
    </font>
    <font>
      <b/>
      <sz val="16"/>
      <color theme="0"/>
      <name val="Bahnschrift"/>
      <family val="2"/>
    </font>
    <font>
      <b/>
      <sz val="12"/>
      <color theme="0"/>
      <name val="Bahnschrift"/>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15" fontId="0" fillId="0" borderId="0" xfId="0" applyNumberFormat="1"/>
    <xf numFmtId="164" fontId="0" fillId="0" borderId="0" xfId="0" applyNumberFormat="1"/>
    <xf numFmtId="0" fontId="1" fillId="2" borderId="0" xfId="0" applyFont="1" applyFill="1" applyAlignment="1">
      <alignment horizontal="center"/>
    </xf>
    <xf numFmtId="164" fontId="1" fillId="2" borderId="0" xfId="0" applyNumberFormat="1" applyFont="1" applyFill="1" applyAlignment="1">
      <alignment horizontal="center"/>
    </xf>
    <xf numFmtId="10" fontId="1" fillId="2" borderId="0" xfId="0" applyNumberFormat="1" applyFont="1" applyFill="1" applyAlignment="1">
      <alignment horizontal="center"/>
    </xf>
    <xf numFmtId="10" fontId="0" fillId="0" borderId="0" xfId="0" applyNumberFormat="1"/>
    <xf numFmtId="0" fontId="3" fillId="2" borderId="0" xfId="0" applyFont="1" applyFill="1" applyAlignment="1">
      <alignment horizontal="center"/>
    </xf>
    <xf numFmtId="164" fontId="3" fillId="2" borderId="0" xfId="0" applyNumberFormat="1" applyFont="1" applyFill="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4" fillId="0" borderId="0" xfId="0" applyFont="1"/>
    <xf numFmtId="0" fontId="5" fillId="0" borderId="0" xfId="0" applyFont="1"/>
    <xf numFmtId="0" fontId="5" fillId="0" borderId="0" xfId="0" applyFont="1" applyAlignment="1">
      <alignment horizontal="center"/>
    </xf>
    <xf numFmtId="0" fontId="6" fillId="3" borderId="0" xfId="0" applyFont="1" applyFill="1" applyAlignment="1">
      <alignment horizontal="center" vertical="center"/>
    </xf>
    <xf numFmtId="165" fontId="0" fillId="0" borderId="0" xfId="0" applyNumberFormat="1" applyAlignment="1"/>
    <xf numFmtId="0" fontId="0" fillId="0" borderId="0" xfId="0" applyAlignment="1"/>
    <xf numFmtId="0" fontId="7" fillId="2" borderId="0" xfId="0" applyFont="1" applyFill="1" applyAlignment="1">
      <alignment horizontal="center" vertical="center"/>
    </xf>
  </cellXfs>
  <cellStyles count="1">
    <cellStyle name="Normal" xfId="0" builtinId="0"/>
  </cellStyles>
  <dxfs count="7">
    <dxf>
      <numFmt numFmtId="164" formatCode="&quot;₹&quot;\ #,##0.00"/>
    </dxf>
    <dxf>
      <numFmt numFmtId="14" formatCode="0.00%"/>
    </dxf>
    <dxf>
      <numFmt numFmtId="164" formatCode="&quot;₹&quot;\ #,##0.00"/>
    </dxf>
    <dxf>
      <numFmt numFmtId="164" formatCode="&quot;₹&quot;\ #,##0.00"/>
    </dxf>
    <dxf>
      <numFmt numFmtId="164" formatCode="&quot;₹&quot;\ #,##0.00"/>
    </dxf>
    <dxf>
      <numFmt numFmtId="20" formatCode="dd/mmm/yy"/>
    </dxf>
    <dxf>
      <font>
        <b/>
        <i val="0"/>
        <strike val="0"/>
        <condense val="0"/>
        <extend val="0"/>
        <outline val="0"/>
        <shadow val="0"/>
        <u val="none"/>
        <vertAlign val="baseline"/>
        <sz val="11"/>
        <color theme="0" tint="-4.9989318521683403E-2"/>
        <name val="Calibri"/>
        <family val="2"/>
        <scheme val="minor"/>
      </font>
      <fill>
        <patternFill patternType="solid">
          <fgColor indexed="64"/>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[Sales_Bsiness_Performance_Dashboard.xlsx]Region Sales!PivotTable1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Sales'!$B$3</c:f>
              <c:strCache>
                <c:ptCount val="1"/>
                <c:pt idx="0">
                  <c:v>Total</c:v>
                </c:pt>
              </c:strCache>
            </c:strRef>
          </c:tx>
          <c:spPr>
            <a:solidFill>
              <a:srgbClr val="4472C4"/>
            </a:solidFill>
            <a:ln w="9525" cap="flat" cmpd="sng" algn="ctr">
              <a:solidFill>
                <a:schemeClr val="accent1"/>
              </a:solidFill>
              <a:miter lim="800000"/>
            </a:ln>
            <a:effectLst>
              <a:glow rad="63500">
                <a:schemeClr val="accent1">
                  <a:satMod val="175000"/>
                  <a:alpha val="25000"/>
                </a:schemeClr>
              </a:glow>
            </a:effectLst>
          </c:spPr>
          <c:invertIfNegative val="0"/>
          <c:cat>
            <c:strRef>
              <c:f>'Region Sales'!$A$4:$A$8</c:f>
              <c:strCache>
                <c:ptCount val="4"/>
                <c:pt idx="0">
                  <c:v>EAST</c:v>
                </c:pt>
                <c:pt idx="1">
                  <c:v>NORTH</c:v>
                </c:pt>
                <c:pt idx="2">
                  <c:v>SOUTH</c:v>
                </c:pt>
                <c:pt idx="3">
                  <c:v>WEST</c:v>
                </c:pt>
              </c:strCache>
            </c:strRef>
          </c:cat>
          <c:val>
            <c:numRef>
              <c:f>'Region Sales'!$B$4:$B$8</c:f>
              <c:numCache>
                <c:formatCode>"₹"\ #,##0.00</c:formatCode>
                <c:ptCount val="4"/>
                <c:pt idx="0">
                  <c:v>81000</c:v>
                </c:pt>
                <c:pt idx="1">
                  <c:v>225000</c:v>
                </c:pt>
                <c:pt idx="2">
                  <c:v>60000</c:v>
                </c:pt>
                <c:pt idx="3">
                  <c:v>42500</c:v>
                </c:pt>
              </c:numCache>
            </c:numRef>
          </c:val>
          <c:extLst>
            <c:ext xmlns:c16="http://schemas.microsoft.com/office/drawing/2014/chart" uri="{C3380CC4-5D6E-409C-BE32-E72D297353CC}">
              <c16:uniqueId val="{00000000-B351-41D7-B4D6-FCDB48495A39}"/>
            </c:ext>
          </c:extLst>
        </c:ser>
        <c:dLbls>
          <c:showLegendKey val="0"/>
          <c:showVal val="0"/>
          <c:showCatName val="0"/>
          <c:showSerName val="0"/>
          <c:showPercent val="0"/>
          <c:showBubbleSize val="0"/>
        </c:dLbls>
        <c:gapWidth val="315"/>
        <c:overlap val="-40"/>
        <c:axId val="1204811727"/>
        <c:axId val="789157023"/>
      </c:barChart>
      <c:catAx>
        <c:axId val="1204811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157023"/>
        <c:crosses val="autoZero"/>
        <c:auto val="1"/>
        <c:lblAlgn val="ctr"/>
        <c:lblOffset val="100"/>
        <c:noMultiLvlLbl val="0"/>
      </c:catAx>
      <c:valAx>
        <c:axId val="789157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81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[Sales_Bsiness_Performance_Dashboard.xlsx]Product Sales!PivotTable2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Product</a:t>
            </a:r>
          </a:p>
        </c:rich>
      </c:tx>
      <c:layout>
        <c:manualLayout>
          <c:xMode val="edge"/>
          <c:yMode val="edge"/>
          <c:x val="0.41332415415286211"/>
          <c:y val="0.167979042614683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Sales'!$B$3</c:f>
              <c:strCache>
                <c:ptCount val="1"/>
                <c:pt idx="0">
                  <c:v>Total</c:v>
                </c:pt>
              </c:strCache>
            </c:strRef>
          </c:tx>
          <c:spPr>
            <a:solidFill>
              <a:srgbClr val="4472C4"/>
            </a:solidFill>
            <a:ln w="9525" cap="flat" cmpd="sng" algn="ctr">
              <a:solidFill>
                <a:schemeClr val="accent1"/>
              </a:solidFill>
              <a:miter lim="800000"/>
            </a:ln>
            <a:effectLst>
              <a:glow rad="63500">
                <a:schemeClr val="accent1">
                  <a:satMod val="175000"/>
                  <a:alpha val="25000"/>
                </a:schemeClr>
              </a:glow>
            </a:effectLst>
          </c:spPr>
          <c:invertIfNegative val="0"/>
          <c:cat>
            <c:strRef>
              <c:f>'Product Sales'!$A$4:$A$8</c:f>
              <c:strCache>
                <c:ptCount val="4"/>
                <c:pt idx="0">
                  <c:v>KEYBOARD</c:v>
                </c:pt>
                <c:pt idx="1">
                  <c:v>LAPTOP</c:v>
                </c:pt>
                <c:pt idx="2">
                  <c:v>MONITOR</c:v>
                </c:pt>
                <c:pt idx="3">
                  <c:v>MOUSE</c:v>
                </c:pt>
              </c:strCache>
            </c:strRef>
          </c:cat>
          <c:val>
            <c:numRef>
              <c:f>'Product Sales'!$B$4:$B$8</c:f>
              <c:numCache>
                <c:formatCode>"₹"\ #,##0.00</c:formatCode>
                <c:ptCount val="4"/>
                <c:pt idx="0">
                  <c:v>10500</c:v>
                </c:pt>
                <c:pt idx="1">
                  <c:v>270000</c:v>
                </c:pt>
                <c:pt idx="2">
                  <c:v>105000</c:v>
                </c:pt>
                <c:pt idx="3">
                  <c:v>23000</c:v>
                </c:pt>
              </c:numCache>
            </c:numRef>
          </c:val>
          <c:extLst>
            <c:ext xmlns:c16="http://schemas.microsoft.com/office/drawing/2014/chart" uri="{C3380CC4-5D6E-409C-BE32-E72D297353CC}">
              <c16:uniqueId val="{00000000-300E-4D34-B908-05138E00F830}"/>
            </c:ext>
          </c:extLst>
        </c:ser>
        <c:dLbls>
          <c:showLegendKey val="0"/>
          <c:showVal val="0"/>
          <c:showCatName val="0"/>
          <c:showSerName val="0"/>
          <c:showPercent val="0"/>
          <c:showBubbleSize val="0"/>
        </c:dLbls>
        <c:gapWidth val="182"/>
        <c:overlap val="-50"/>
        <c:axId val="1216629087"/>
        <c:axId val="790551039"/>
      </c:barChart>
      <c:catAx>
        <c:axId val="12166290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551039"/>
        <c:crosses val="autoZero"/>
        <c:auto val="1"/>
        <c:lblAlgn val="ctr"/>
        <c:lblOffset val="100"/>
        <c:noMultiLvlLbl val="0"/>
      </c:catAx>
      <c:valAx>
        <c:axId val="79055103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6629087"/>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[Sales_Bsiness_Performance_Dashboard.xlsx]Category Profit!PivotTable3</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Profit'!$B$3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'Category Profit'!$A$4:$A$6</c:f>
              <c:strCache>
                <c:ptCount val="2"/>
                <c:pt idx="0">
                  <c:v>ACCESSORIES</c:v>
                </c:pt>
                <c:pt idx="1">
                  <c:v>ELECTRONICS</c:v>
                </c:pt>
              </c:strCache>
            </c:strRef>
          </c:cat>
          <c:val>
            <c:numRef>
              <c:f>'Category Profit'!$B$4:$B$6</c:f>
              <c:numCache>
                <c:formatCode>"₹"\ #,##0.00</c:formatCode>
                <c:ptCount val="2"/>
                <c:pt idx="0">
                  <c:v>13400</c:v>
                </c:pt>
                <c:pt idx="1">
                  <c:v>63000</c:v>
                </c:pt>
              </c:numCache>
            </c:numRef>
          </c:val>
          <c:extLst>
            <c:ext xmlns:c16="http://schemas.microsoft.com/office/drawing/2014/chart" uri="{C3380CC4-5D6E-409C-BE32-E72D297353CC}">
              <c16:uniqueId val="{00000000-135D-4628-97AF-23950D0D62B5}"/>
            </c:ext>
          </c:extLst>
        </c:ser>
        <c:dLbls>
          <c:showLegendKey val="0"/>
          <c:showVal val="1"/>
          <c:showCatName val="0"/>
          <c:showSerName val="0"/>
          <c:showPercent val="0"/>
          <c:showBubbleSize val="0"/>
        </c:dLbls>
        <c:gapWidth val="84"/>
        <c:gapDepth val="53"/>
        <c:shape val="box"/>
        <c:axId val="1159723887"/>
        <c:axId val="789157503"/>
        <c:axId val="0"/>
      </c:bar3DChart>
      <c:catAx>
        <c:axId val="115972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157503"/>
        <c:crosses val="autoZero"/>
        <c:auto val="1"/>
        <c:lblAlgn val="ctr"/>
        <c:lblOffset val="100"/>
        <c:noMultiLvlLbl val="0"/>
      </c:catAx>
      <c:valAx>
        <c:axId val="789157503"/>
        <c:scaling>
          <c:orientation val="minMax"/>
        </c:scaling>
        <c:delete val="1"/>
        <c:axPos val="l"/>
        <c:numFmt formatCode="&quot;₹&quot;\ #,##0.00" sourceLinked="1"/>
        <c:majorTickMark val="out"/>
        <c:minorTickMark val="none"/>
        <c:tickLblPos val="nextTo"/>
        <c:crossAx val="115972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[Sales_Bsiness_Performance_Dashboard.xlsx]Region Profit!PivotTable4</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'Region Profit'!$B$3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59C8-4680-8912-28224BF04E6F}"/>
                </c:ext>
              </c:extLst>
            </c:dLbl>
            <c:dLbl>
              <c:idx val="1"/>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59C8-4680-8912-28224BF04E6F}"/>
                </c:ext>
              </c:extLst>
            </c:dLbl>
            <c:dLbl>
              <c:idx val="2"/>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0-59C8-4680-8912-28224BF04E6F}"/>
                </c:ext>
              </c:extLst>
            </c:dLbl>
            <c:dLbl>
              <c:idx val="3"/>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9C8-4680-8912-28224BF04E6F}"/>
                </c:ext>
              </c:extLst>
            </c:dLbl>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 Profit'!$A$4:$A$8</c:f>
              <c:strCache>
                <c:ptCount val="4"/>
                <c:pt idx="0">
                  <c:v>EAST</c:v>
                </c:pt>
                <c:pt idx="1">
                  <c:v>NORTH</c:v>
                </c:pt>
                <c:pt idx="2">
                  <c:v>SOUTH</c:v>
                </c:pt>
                <c:pt idx="3">
                  <c:v>WEST</c:v>
                </c:pt>
              </c:strCache>
            </c:strRef>
          </c:cat>
          <c:val>
            <c:numRef>
              <c:f>'Region Profit'!$B$4:$B$8</c:f>
              <c:numCache>
                <c:formatCode>"₹"\ #,##0.00</c:formatCode>
                <c:ptCount val="4"/>
                <c:pt idx="0">
                  <c:v>15400</c:v>
                </c:pt>
                <c:pt idx="1">
                  <c:v>35000</c:v>
                </c:pt>
                <c:pt idx="2">
                  <c:v>15000</c:v>
                </c:pt>
                <c:pt idx="3">
                  <c:v>11000</c:v>
                </c:pt>
              </c:numCache>
            </c:numRef>
          </c:val>
          <c:extLst>
            <c:ext xmlns:c16="http://schemas.microsoft.com/office/drawing/2014/chart" uri="{C3380CC4-5D6E-409C-BE32-E72D297353CC}">
              <c16:uniqueId val="{00000000-807F-43D6-8D4B-A0D4A29D08D5}"/>
            </c:ext>
          </c:extLst>
        </c:ser>
        <c:dLbls>
          <c:showLegendKey val="0"/>
          <c:showVal val="1"/>
          <c:showCatName val="0"/>
          <c:showSerName val="0"/>
          <c:showPercent val="0"/>
          <c:showBubbleSize val="0"/>
        </c:dLbls>
        <c:gapWidth val="84"/>
        <c:gapDepth val="53"/>
        <c:shape val="box"/>
        <c:axId val="1205300095"/>
        <c:axId val="790555359"/>
        <c:axId val="0"/>
      </c:bar3DChart>
      <c:catAx>
        <c:axId val="120530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555359"/>
        <c:crosses val="autoZero"/>
        <c:auto val="1"/>
        <c:lblAlgn val="ctr"/>
        <c:lblOffset val="100"/>
        <c:noMultiLvlLbl val="0"/>
      </c:catAx>
      <c:valAx>
        <c:axId val="790555359"/>
        <c:scaling>
          <c:orientation val="minMax"/>
        </c:scaling>
        <c:delete val="1"/>
        <c:axPos val="b"/>
        <c:numFmt formatCode="&quot;₹&quot;\ #,##0" sourceLinked="0"/>
        <c:majorTickMark val="out"/>
        <c:minorTickMark val="none"/>
        <c:tickLblPos val="nextTo"/>
        <c:crossAx val="1205300095"/>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0</xdr:row>
      <xdr:rowOff>9525</xdr:rowOff>
    </xdr:from>
    <xdr:to>
      <xdr:col>12</xdr:col>
      <xdr:colOff>131925</xdr:colOff>
      <xdr:row>10</xdr:row>
      <xdr:rowOff>8325</xdr:rowOff>
    </xdr:to>
    <xdr:graphicFrame macro="">
      <xdr:nvGraphicFramePr>
        <xdr:cNvPr id="2" name="Chart 1">
          <a:extLst>
            <a:ext uri="{FF2B5EF4-FFF2-40B4-BE49-F238E27FC236}">
              <a16:creationId xmlns:a16="http://schemas.microsoft.com/office/drawing/2014/main" id="{CF154371-E574-5159-9BF4-2B532760C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10</xdr:row>
      <xdr:rowOff>38098</xdr:rowOff>
    </xdr:from>
    <xdr:to>
      <xdr:col>12</xdr:col>
      <xdr:colOff>131925</xdr:colOff>
      <xdr:row>20</xdr:row>
      <xdr:rowOff>113098</xdr:rowOff>
    </xdr:to>
    <xdr:graphicFrame macro="">
      <xdr:nvGraphicFramePr>
        <xdr:cNvPr id="3" name="Chart 1">
          <a:extLst>
            <a:ext uri="{FF2B5EF4-FFF2-40B4-BE49-F238E27FC236}">
              <a16:creationId xmlns:a16="http://schemas.microsoft.com/office/drawing/2014/main" id="{A5C65F6B-F5E0-ABF1-4E6E-D82DE0E49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161925</xdr:colOff>
      <xdr:row>0</xdr:row>
      <xdr:rowOff>19050</xdr:rowOff>
    </xdr:from>
    <xdr:to>
      <xdr:col>18</xdr:col>
      <xdr:colOff>284325</xdr:colOff>
      <xdr:row>10</xdr:row>
      <xdr:rowOff>17850</xdr:rowOff>
    </xdr:to>
    <xdr:graphicFrame macro="">
      <xdr:nvGraphicFramePr>
        <xdr:cNvPr id="4" name="Chart 2">
          <a:extLst>
            <a:ext uri="{FF2B5EF4-FFF2-40B4-BE49-F238E27FC236}">
              <a16:creationId xmlns:a16="http://schemas.microsoft.com/office/drawing/2014/main" id="{F9F53517-AAF8-A430-E8A0-E4B413E03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161924</xdr:colOff>
      <xdr:row>10</xdr:row>
      <xdr:rowOff>38098</xdr:rowOff>
    </xdr:from>
    <xdr:to>
      <xdr:col>18</xdr:col>
      <xdr:colOff>284324</xdr:colOff>
      <xdr:row>20</xdr:row>
      <xdr:rowOff>113098</xdr:rowOff>
    </xdr:to>
    <xdr:graphicFrame macro="">
      <xdr:nvGraphicFramePr>
        <xdr:cNvPr id="5" name="Chart 1">
          <a:extLst>
            <a:ext uri="{FF2B5EF4-FFF2-40B4-BE49-F238E27FC236}">
              <a16:creationId xmlns:a16="http://schemas.microsoft.com/office/drawing/2014/main" id="{9259C8BB-616B-31DB-5DD6-B67984D0E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7</xdr:row>
      <xdr:rowOff>85725</xdr:rowOff>
    </xdr:from>
    <xdr:to>
      <xdr:col>1</xdr:col>
      <xdr:colOff>790575</xdr:colOff>
      <xdr:row>20</xdr:row>
      <xdr:rowOff>133350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06A755A-903D-4F24-D41C-2B7DB4524D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1495425"/>
              <a:ext cx="17240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286.441859953702" missingItemsLimit="0" createdVersion="8" refreshedVersion="8" minRefreshableVersion="3" recordCount="12" xr:uid="{210B9BB7-FEAD-498D-A83F-C8D1B79B9FE9}">
  <cacheSource type="worksheet">
    <worksheetSource name="Table1"/>
  </cacheSource>
  <cacheFields count="11">
    <cacheField name="ORDER ID" numFmtId="0">
      <sharedItems/>
    </cacheField>
    <cacheField name="ORDER DATE" numFmtId="15">
      <sharedItems containsSemiMixedTypes="0" containsNonDate="0" containsDate="1" containsString="0" minDate="2026-01-05T00:00:00" maxDate="2026-03-21T00:00:00"/>
    </cacheField>
    <cacheField name="CUSTOMER" numFmtId="0">
      <sharedItems/>
    </cacheField>
    <cacheField name="REGION" numFmtId="0">
      <sharedItems count="4">
        <s v="NORTH"/>
        <s v="SOUTH"/>
        <s v="WEST"/>
        <s v="EAST"/>
      </sharedItems>
    </cacheField>
    <cacheField name="PRODUCT" numFmtId="0">
      <sharedItems count="4">
        <s v="LAPTOP"/>
        <s v="MOUSE"/>
        <s v="KEYBOARD"/>
        <s v="MONITOR"/>
      </sharedItems>
    </cacheField>
    <cacheField name="CATEGORY" numFmtId="0">
      <sharedItems count="2">
        <s v="ELECTRONICS"/>
        <s v="ACCESSORIES"/>
      </sharedItems>
    </cacheField>
    <cacheField name="QUANTITY" numFmtId="0">
      <sharedItems containsSemiMixedTypes="0" containsString="0" containsNumber="1" containsInteger="1" minValue="1" maxValue="10"/>
    </cacheField>
    <cacheField name="SALES" numFmtId="164">
      <sharedItems containsSemiMixedTypes="0" containsString="0" containsNumber="1" containsInteger="1" minValue="4500" maxValue="90000"/>
    </cacheField>
    <cacheField name="COST" numFmtId="164">
      <sharedItems containsSemiMixedTypes="0" containsString="0" containsNumber="1" containsInteger="1" minValue="2700" maxValue="76000"/>
    </cacheField>
    <cacheField name="PROFIT" numFmtId="164">
      <sharedItems containsSemiMixedTypes="0" containsString="0" containsNumber="1" containsInteger="1" minValue="1800" maxValue="14000"/>
    </cacheField>
    <cacheField name="PROFIT%" numFmtId="10">
      <sharedItems containsSemiMixedTypes="0" containsString="0" containsNumber="1" minValue="0.15555555555555556" maxValue="0.4"/>
    </cacheField>
  </cacheFields>
  <extLst>
    <ext xmlns:x14="http://schemas.microsoft.com/office/spreadsheetml/2009/9/main" uri="{725AE2AE-9491-48be-B2B4-4EB974FC3084}">
      <x14:pivotCacheDefinition pivotCacheId="845477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RD001"/>
    <d v="2026-01-05T00:00:00"/>
    <s v="RAHUL"/>
    <x v="0"/>
    <x v="0"/>
    <x v="0"/>
    <n v="2"/>
    <n v="90000"/>
    <n v="76000"/>
    <n v="14000"/>
    <n v="0.15555555555555556"/>
  </r>
  <r>
    <s v="ORD002"/>
    <d v="2026-01-08T00:00:00"/>
    <s v="PRIYA"/>
    <x v="1"/>
    <x v="1"/>
    <x v="1"/>
    <n v="5"/>
    <n v="5000"/>
    <n v="3000"/>
    <n v="2000"/>
    <n v="0.4"/>
  </r>
  <r>
    <s v="ORD003"/>
    <d v="2026-01-12T00:00:00"/>
    <s v="AMIT"/>
    <x v="2"/>
    <x v="2"/>
    <x v="1"/>
    <n v="3"/>
    <n v="4500"/>
    <n v="2700"/>
    <n v="1800"/>
    <n v="0.4"/>
  </r>
  <r>
    <s v="ORD004"/>
    <d v="2026-01-18T00:00:00"/>
    <s v="NEHA"/>
    <x v="3"/>
    <x v="3"/>
    <x v="0"/>
    <n v="2"/>
    <n v="30000"/>
    <n v="24000"/>
    <n v="6000"/>
    <n v="0.2"/>
  </r>
  <r>
    <s v="ORD005"/>
    <d v="2026-01-25T00:00:00"/>
    <s v="ROHIT"/>
    <x v="0"/>
    <x v="0"/>
    <x v="0"/>
    <n v="1"/>
    <n v="45000"/>
    <n v="38000"/>
    <n v="7000"/>
    <n v="0.15555555555555556"/>
  </r>
  <r>
    <s v="ORD006"/>
    <d v="2026-02-03T00:00:00"/>
    <s v="POOJA"/>
    <x v="2"/>
    <x v="1"/>
    <x v="1"/>
    <n v="8"/>
    <n v="8000"/>
    <n v="4800"/>
    <n v="3200"/>
    <n v="0.4"/>
  </r>
  <r>
    <s v="ORD007"/>
    <d v="2026-02-10T00:00:00"/>
    <s v="AMAN"/>
    <x v="1"/>
    <x v="3"/>
    <x v="0"/>
    <n v="3"/>
    <n v="45000"/>
    <n v="36000"/>
    <n v="9000"/>
    <n v="0.2"/>
  </r>
  <r>
    <s v="ORD008"/>
    <d v="2026-02-17T00:00:00"/>
    <s v="SNEHA"/>
    <x v="3"/>
    <x v="2"/>
    <x v="1"/>
    <n v="4"/>
    <n v="6000"/>
    <n v="3600"/>
    <n v="2400"/>
    <n v="0.4"/>
  </r>
  <r>
    <s v="ORD009"/>
    <d v="2026-02-24T00:00:00"/>
    <s v="KARAN"/>
    <x v="0"/>
    <x v="0"/>
    <x v="0"/>
    <n v="2"/>
    <n v="90000"/>
    <n v="76000"/>
    <n v="14000"/>
    <n v="0.15555555555555556"/>
  </r>
  <r>
    <s v="ORD010"/>
    <d v="2026-03-05T00:00:00"/>
    <s v="ANJALI"/>
    <x v="1"/>
    <x v="1"/>
    <x v="1"/>
    <n v="10"/>
    <n v="10000"/>
    <n v="6000"/>
    <n v="4000"/>
    <n v="0.4"/>
  </r>
  <r>
    <s v="ORD011"/>
    <d v="2026-03-12T00:00:00"/>
    <s v="VIVEK"/>
    <x v="2"/>
    <x v="3"/>
    <x v="0"/>
    <n v="2"/>
    <n v="30000"/>
    <n v="24000"/>
    <n v="6000"/>
    <n v="0.2"/>
  </r>
  <r>
    <s v="ORD012"/>
    <d v="2026-03-20T00:00:00"/>
    <s v="SIMRAN"/>
    <x v="3"/>
    <x v="0"/>
    <x v="0"/>
    <n v="1"/>
    <n v="45000"/>
    <n v="38000"/>
    <n v="7000"/>
    <n v="0.15555555555555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440D5-047F-46E8-805F-8B5AAD722D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1">
    <pivotField showAll="0"/>
    <pivotField numFmtId="15" showAll="0"/>
    <pivotField showAll="0"/>
    <pivotField axis="axisRow" showAll="0">
      <items count="5">
        <item x="3"/>
        <item x="0"/>
        <item x="1"/>
        <item x="2"/>
        <item t="default"/>
      </items>
    </pivotField>
    <pivotField showAll="0"/>
    <pivotField showAll="0"/>
    <pivotField showAll="0"/>
    <pivotField dataField="1" numFmtId="164" showAll="0"/>
    <pivotField numFmtId="164" showAll="0"/>
    <pivotField numFmtId="164" showAll="0"/>
    <pivotField numFmtId="10" showAll="0"/>
  </pivotFields>
  <rowFields count="1">
    <field x="3"/>
  </rowFields>
  <rowItems count="5">
    <i>
      <x/>
    </i>
    <i>
      <x v="1"/>
    </i>
    <i>
      <x v="2"/>
    </i>
    <i>
      <x v="3"/>
    </i>
    <i t="grand">
      <x/>
    </i>
  </rowItems>
  <colItems count="1">
    <i/>
  </colItems>
  <dataFields count="1">
    <dataField name="Sum of SALES" fld="7" baseField="0" baseItem="0" numFmtId="164"/>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D29F0-5355-43AF-8BA1-0EF90143E3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1">
    <pivotField showAll="0"/>
    <pivotField numFmtId="15" showAll="0"/>
    <pivotField showAll="0"/>
    <pivotField showAll="0">
      <items count="5">
        <item x="3"/>
        <item x="0"/>
        <item x="1"/>
        <item x="2"/>
        <item t="default"/>
      </items>
    </pivotField>
    <pivotField axis="axisRow" showAll="0">
      <items count="5">
        <item x="2"/>
        <item x="0"/>
        <item x="3"/>
        <item x="1"/>
        <item t="default"/>
      </items>
    </pivotField>
    <pivotField showAll="0"/>
    <pivotField showAll="0"/>
    <pivotField dataField="1" numFmtId="164" showAll="0"/>
    <pivotField numFmtId="164" showAll="0"/>
    <pivotField numFmtId="164" showAll="0"/>
    <pivotField numFmtId="10" showAll="0"/>
  </pivotFields>
  <rowFields count="1">
    <field x="4"/>
  </rowFields>
  <rowItems count="5">
    <i>
      <x/>
    </i>
    <i>
      <x v="1"/>
    </i>
    <i>
      <x v="2"/>
    </i>
    <i>
      <x v="3"/>
    </i>
    <i t="grand">
      <x/>
    </i>
  </rowItems>
  <colItems count="1">
    <i/>
  </colItems>
  <dataFields count="1">
    <dataField name="Sum of SALES" fld="7" baseField="0" baseItem="0" numFmtId="164"/>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DED87B-8399-47F9-A5C2-50CDAA1021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1">
    <pivotField showAll="0"/>
    <pivotField numFmtId="15" showAll="0"/>
    <pivotField showAll="0"/>
    <pivotField showAll="0">
      <items count="5">
        <item x="3"/>
        <item x="0"/>
        <item x="1"/>
        <item x="2"/>
        <item t="default"/>
      </items>
    </pivotField>
    <pivotField showAll="0"/>
    <pivotField axis="axisRow" showAll="0">
      <items count="3">
        <item x="1"/>
        <item x="0"/>
        <item t="default"/>
      </items>
    </pivotField>
    <pivotField showAll="0"/>
    <pivotField numFmtId="164" showAll="0"/>
    <pivotField numFmtId="164" showAll="0"/>
    <pivotField dataField="1" numFmtId="164" showAll="0"/>
    <pivotField numFmtId="10" showAll="0"/>
  </pivotFields>
  <rowFields count="1">
    <field x="5"/>
  </rowFields>
  <rowItems count="3">
    <i>
      <x/>
    </i>
    <i>
      <x v="1"/>
    </i>
    <i t="grand">
      <x/>
    </i>
  </rowItems>
  <colItems count="1">
    <i/>
  </colItems>
  <dataFields count="1">
    <dataField name="Sum of PROFIT" fld="9" baseField="0" baseItem="0" numFmtId="164"/>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A22550-44C0-4FF4-8E81-BBEBC03925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showAll="0"/>
    <pivotField numFmtId="15" showAll="0"/>
    <pivotField showAll="0"/>
    <pivotField axis="axisRow" showAll="0">
      <items count="5">
        <item x="3"/>
        <item x="0"/>
        <item x="1"/>
        <item x="2"/>
        <item t="default"/>
      </items>
    </pivotField>
    <pivotField showAll="0"/>
    <pivotField showAll="0"/>
    <pivotField showAll="0"/>
    <pivotField numFmtId="164" showAll="0"/>
    <pivotField numFmtId="164" showAll="0"/>
    <pivotField dataField="1" numFmtId="164" showAll="0"/>
    <pivotField numFmtId="10" showAll="0"/>
  </pivotFields>
  <rowFields count="1">
    <field x="3"/>
  </rowFields>
  <rowItems count="5">
    <i>
      <x/>
    </i>
    <i>
      <x v="1"/>
    </i>
    <i>
      <x v="2"/>
    </i>
    <i>
      <x v="3"/>
    </i>
    <i t="grand">
      <x/>
    </i>
  </rowItems>
  <colItems count="1">
    <i/>
  </colItems>
  <dataFields count="1">
    <dataField name="Sum of PROFIT" fld="9" baseField="0" baseItem="0" numFmtId="164"/>
  </dataFields>
  <chartFormats count="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 count="1" selected="0">
            <x v="2"/>
          </reference>
        </references>
      </pivotArea>
    </chartFormat>
    <chartFormat chart="9" format="3">
      <pivotArea type="data" outline="0" fieldPosition="0">
        <references count="2">
          <reference field="4294967294" count="1" selected="0">
            <x v="0"/>
          </reference>
          <reference field="3" count="1" selected="0">
            <x v="3"/>
          </reference>
        </references>
      </pivotArea>
    </chartFormat>
    <chartFormat chart="9" format="4">
      <pivotArea type="data" outline="0" fieldPosition="0">
        <references count="2">
          <reference field="4294967294" count="1" selected="0">
            <x v="0"/>
          </reference>
          <reference field="3" count="1" selected="0">
            <x v="1"/>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9CB194-122A-4BA7-9952-99D968F10D85}" sourceName="REGION">
  <pivotTables>
    <pivotTable tabId="2" name="PivotTable1"/>
    <pivotTable tabId="4" name="PivotTable3"/>
    <pivotTable tabId="3" name="PivotTable2"/>
    <pivotTable tabId="5" name="PivotTable4"/>
  </pivotTables>
  <data>
    <tabular pivotCacheId="84547726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E3941A-EB6E-4853-B350-B20D7DF9CE32}"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22EF47-AAF6-4559-8A65-F322D913E5CE}" name="Table1" displayName="Table1" ref="A1:K13" totalsRowShown="0" headerRowDxfId="6">
  <autoFilter ref="A1:K13" xr:uid="{8722EF47-AAF6-4559-8A65-F322D913E5CE}"/>
  <tableColumns count="11">
    <tableColumn id="1" xr3:uid="{1BB19B3D-4AB2-40DF-84C8-2AA921F06F6A}" name="ORDER ID"/>
    <tableColumn id="2" xr3:uid="{EF4D8196-9D40-43E6-AE10-4FC507D50F54}" name="ORDER DATE" dataDxfId="5"/>
    <tableColumn id="3" xr3:uid="{054A1547-F27F-4C19-91D0-7090A6D90D1A}" name="CUSTOMER"/>
    <tableColumn id="4" xr3:uid="{9CBB440F-635E-43CD-82D6-4C49C98DE28B}" name="REGION"/>
    <tableColumn id="5" xr3:uid="{E0871582-4090-4A30-9CA2-71785B5FA9B4}" name="PRODUCT"/>
    <tableColumn id="6" xr3:uid="{28F396C5-0553-4B1E-893B-C7F5BEEABBE1}" name="CATEGORY"/>
    <tableColumn id="7" xr3:uid="{1F564B17-54E4-40EE-9A82-15AB3896FCB0}" name="QUANTITY"/>
    <tableColumn id="8" xr3:uid="{383EEDFF-0CAA-42E8-8E42-9876FF517860}" name="SALES" dataDxfId="4"/>
    <tableColumn id="9" xr3:uid="{940AC732-16F9-4229-8EB5-303EEBF70FC2}" name="COST" dataDxfId="3"/>
    <tableColumn id="10" xr3:uid="{6FF98D01-BECB-4E51-82AC-5CB6F23F4E7F}" name="PROFIT" dataDxfId="2">
      <calculatedColumnFormula>Table1[[#This Row],[SALES]]-Table1[[#This Row],[COST]]</calculatedColumnFormula>
    </tableColumn>
    <tableColumn id="11" xr3:uid="{AA603944-B5DE-4125-A7FC-AED0248CF10E}" name="PROFIT%" dataDxfId="1">
      <calculatedColumnFormula>Table1[[#This Row],[PROFIT]]/Table1[[#This Row],[SALES]]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DC0678-BFDC-4B18-B3CB-2D23A383205A}" name="Table2" displayName="Table2" ref="N1:O6" totalsRowShown="0">
  <autoFilter ref="N1:O6" xr:uid="{46DC0678-BFDC-4B18-B3CB-2D23A383205A}"/>
  <tableColumns count="2">
    <tableColumn id="1" xr3:uid="{6A50E688-A531-4259-B399-317AB17E7C37}" name="KPI"/>
    <tableColumn id="2" xr3:uid="{7F23A92B-2AAB-4B7D-A247-4B20E2705C64}" name="VALU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5D05-6CC2-4780-A370-4479C41BA4B3}">
  <dimension ref="A3:B8"/>
  <sheetViews>
    <sheetView workbookViewId="0">
      <selection activeCell="A4" sqref="A4"/>
    </sheetView>
  </sheetViews>
  <sheetFormatPr defaultRowHeight="15" x14ac:dyDescent="0.25"/>
  <cols>
    <col min="1" max="1" width="13.140625" bestFit="1" customWidth="1"/>
    <col min="2" max="2" width="12.7109375" bestFit="1" customWidth="1"/>
  </cols>
  <sheetData>
    <row r="3" spans="1:2" x14ac:dyDescent="0.25">
      <c r="A3" s="10" t="s">
        <v>52</v>
      </c>
      <c r="B3" t="s">
        <v>54</v>
      </c>
    </row>
    <row r="4" spans="1:2" x14ac:dyDescent="0.25">
      <c r="A4" s="11" t="s">
        <v>36</v>
      </c>
      <c r="B4" s="2">
        <v>81000</v>
      </c>
    </row>
    <row r="5" spans="1:2" x14ac:dyDescent="0.25">
      <c r="A5" s="11" t="s">
        <v>33</v>
      </c>
      <c r="B5" s="2">
        <v>225000</v>
      </c>
    </row>
    <row r="6" spans="1:2" x14ac:dyDescent="0.25">
      <c r="A6" s="11" t="s">
        <v>34</v>
      </c>
      <c r="B6" s="2">
        <v>60000</v>
      </c>
    </row>
    <row r="7" spans="1:2" x14ac:dyDescent="0.25">
      <c r="A7" s="11" t="s">
        <v>35</v>
      </c>
      <c r="B7" s="2">
        <v>42500</v>
      </c>
    </row>
    <row r="8" spans="1:2" x14ac:dyDescent="0.25">
      <c r="A8" s="11" t="s">
        <v>53</v>
      </c>
      <c r="B8" s="2">
        <v>408500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2106-AC2E-498A-9AA8-CAAFB4CD22B9}">
  <dimension ref="A1:J7"/>
  <sheetViews>
    <sheetView showGridLines="0" tabSelected="1" workbookViewId="0">
      <selection activeCell="D10" sqref="D10"/>
    </sheetView>
  </sheetViews>
  <sheetFormatPr defaultRowHeight="15" x14ac:dyDescent="0.25"/>
  <cols>
    <col min="1" max="1" width="14.7109375" customWidth="1"/>
    <col min="2" max="2" width="12.28515625" bestFit="1" customWidth="1"/>
    <col min="3" max="6" width="6.7109375" customWidth="1"/>
  </cols>
  <sheetData>
    <row r="1" spans="1:10" ht="19.5" x14ac:dyDescent="0.25">
      <c r="A1" s="18" t="s">
        <v>56</v>
      </c>
      <c r="B1" s="18"/>
      <c r="C1" s="18"/>
      <c r="D1" s="18"/>
      <c r="E1" s="18"/>
      <c r="F1" s="18"/>
      <c r="G1" s="15"/>
      <c r="H1" s="15"/>
      <c r="I1" s="15"/>
      <c r="J1" s="15"/>
    </row>
    <row r="2" spans="1:10" ht="16.5" x14ac:dyDescent="0.3">
      <c r="A2" s="14" t="s">
        <v>58</v>
      </c>
      <c r="B2" s="14"/>
      <c r="C2" s="14"/>
      <c r="D2" s="13"/>
    </row>
    <row r="3" spans="1:10" x14ac:dyDescent="0.25">
      <c r="A3" s="12" t="s">
        <v>45</v>
      </c>
      <c r="B3" s="12" t="s">
        <v>57</v>
      </c>
    </row>
    <row r="4" spans="1:10" x14ac:dyDescent="0.25">
      <c r="A4" t="s">
        <v>46</v>
      </c>
      <c r="B4" s="16">
        <v>408500</v>
      </c>
    </row>
    <row r="5" spans="1:10" x14ac:dyDescent="0.25">
      <c r="A5" t="s">
        <v>47</v>
      </c>
      <c r="B5" s="16">
        <v>332100</v>
      </c>
    </row>
    <row r="6" spans="1:10" x14ac:dyDescent="0.25">
      <c r="A6" t="s">
        <v>48</v>
      </c>
      <c r="B6" s="16">
        <v>76400</v>
      </c>
    </row>
    <row r="7" spans="1:10" x14ac:dyDescent="0.25">
      <c r="A7" t="s">
        <v>49</v>
      </c>
      <c r="B7" s="17">
        <v>12</v>
      </c>
    </row>
  </sheetData>
  <mergeCells count="2">
    <mergeCell ref="A2:C2"/>
    <mergeCell ref="A1:F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D705-824D-4E05-A9BD-F2F727308E46}">
  <dimension ref="A3:B8"/>
  <sheetViews>
    <sheetView workbookViewId="0">
      <selection activeCell="A3" sqref="A3"/>
    </sheetView>
  </sheetViews>
  <sheetFormatPr defaultRowHeight="15" x14ac:dyDescent="0.25"/>
  <cols>
    <col min="1" max="1" width="13.140625" bestFit="1" customWidth="1"/>
    <col min="2" max="2" width="12.7109375" bestFit="1" customWidth="1"/>
  </cols>
  <sheetData>
    <row r="3" spans="1:2" x14ac:dyDescent="0.25">
      <c r="A3" s="10" t="s">
        <v>52</v>
      </c>
      <c r="B3" t="s">
        <v>54</v>
      </c>
    </row>
    <row r="4" spans="1:2" x14ac:dyDescent="0.25">
      <c r="A4" s="11" t="s">
        <v>39</v>
      </c>
      <c r="B4" s="2">
        <v>10500</v>
      </c>
    </row>
    <row r="5" spans="1:2" x14ac:dyDescent="0.25">
      <c r="A5" s="11" t="s">
        <v>37</v>
      </c>
      <c r="B5" s="2">
        <v>270000</v>
      </c>
    </row>
    <row r="6" spans="1:2" x14ac:dyDescent="0.25">
      <c r="A6" s="11" t="s">
        <v>40</v>
      </c>
      <c r="B6" s="2">
        <v>105000</v>
      </c>
    </row>
    <row r="7" spans="1:2" x14ac:dyDescent="0.25">
      <c r="A7" s="11" t="s">
        <v>38</v>
      </c>
      <c r="B7" s="2">
        <v>23000</v>
      </c>
    </row>
    <row r="8" spans="1:2" x14ac:dyDescent="0.25">
      <c r="A8" s="11" t="s">
        <v>53</v>
      </c>
      <c r="B8" s="2">
        <v>408500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DB2C-FF0A-4878-9FAF-FC727916967E}">
  <dimension ref="A3:B6"/>
  <sheetViews>
    <sheetView workbookViewId="0">
      <selection activeCell="A3" sqref="A3"/>
    </sheetView>
  </sheetViews>
  <sheetFormatPr defaultRowHeight="15" x14ac:dyDescent="0.25"/>
  <cols>
    <col min="1" max="1" width="13.140625" bestFit="1" customWidth="1"/>
    <col min="2" max="2" width="14" bestFit="1" customWidth="1"/>
  </cols>
  <sheetData>
    <row r="3" spans="1:2" x14ac:dyDescent="0.25">
      <c r="A3" s="10" t="s">
        <v>52</v>
      </c>
      <c r="B3" t="s">
        <v>55</v>
      </c>
    </row>
    <row r="4" spans="1:2" x14ac:dyDescent="0.25">
      <c r="A4" s="11" t="s">
        <v>42</v>
      </c>
      <c r="B4" s="2">
        <v>13400</v>
      </c>
    </row>
    <row r="5" spans="1:2" x14ac:dyDescent="0.25">
      <c r="A5" s="11" t="s">
        <v>41</v>
      </c>
      <c r="B5" s="2">
        <v>63000</v>
      </c>
    </row>
    <row r="6" spans="1:2" x14ac:dyDescent="0.25">
      <c r="A6" s="11" t="s">
        <v>53</v>
      </c>
      <c r="B6" s="2">
        <v>76400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9DBE-119B-40D6-B09B-D7C7AAF3DDDA}">
  <dimension ref="A3:B8"/>
  <sheetViews>
    <sheetView workbookViewId="0">
      <selection activeCell="A3" sqref="A3"/>
    </sheetView>
  </sheetViews>
  <sheetFormatPr defaultRowHeight="15" x14ac:dyDescent="0.25"/>
  <cols>
    <col min="1" max="1" width="13.140625" bestFit="1" customWidth="1"/>
    <col min="2" max="2" width="14" bestFit="1" customWidth="1"/>
  </cols>
  <sheetData>
    <row r="3" spans="1:2" x14ac:dyDescent="0.25">
      <c r="A3" s="10" t="s">
        <v>52</v>
      </c>
      <c r="B3" t="s">
        <v>55</v>
      </c>
    </row>
    <row r="4" spans="1:2" x14ac:dyDescent="0.25">
      <c r="A4" s="11" t="s">
        <v>36</v>
      </c>
      <c r="B4" s="2">
        <v>15400</v>
      </c>
    </row>
    <row r="5" spans="1:2" x14ac:dyDescent="0.25">
      <c r="A5" s="11" t="s">
        <v>33</v>
      </c>
      <c r="B5" s="2">
        <v>35000</v>
      </c>
    </row>
    <row r="6" spans="1:2" x14ac:dyDescent="0.25">
      <c r="A6" s="11" t="s">
        <v>34</v>
      </c>
      <c r="B6" s="2">
        <v>15000</v>
      </c>
    </row>
    <row r="7" spans="1:2" x14ac:dyDescent="0.25">
      <c r="A7" s="11" t="s">
        <v>35</v>
      </c>
      <c r="B7" s="2">
        <v>11000</v>
      </c>
    </row>
    <row r="8" spans="1:2" x14ac:dyDescent="0.25">
      <c r="A8" s="11" t="s">
        <v>53</v>
      </c>
      <c r="B8" s="2">
        <v>76400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E2FA-1409-4A46-8867-63FD98974BF9}">
  <dimension ref="A1:O13"/>
  <sheetViews>
    <sheetView zoomScale="80" zoomScaleNormal="80" workbookViewId="0">
      <selection activeCell="E1" sqref="E1:E1048576"/>
    </sheetView>
  </sheetViews>
  <sheetFormatPr defaultRowHeight="15" x14ac:dyDescent="0.25"/>
  <cols>
    <col min="1" max="1" width="15.85546875" bestFit="1" customWidth="1"/>
    <col min="2" max="2" width="18.7109375" bestFit="1" customWidth="1"/>
    <col min="3" max="3" width="17.140625" bestFit="1" customWidth="1"/>
    <col min="4" max="4" width="14.140625" bestFit="1" customWidth="1"/>
    <col min="5" max="5" width="15.7109375" bestFit="1" customWidth="1"/>
    <col min="6" max="6" width="16.5703125" bestFit="1" customWidth="1"/>
    <col min="7" max="7" width="16.28515625" bestFit="1" customWidth="1"/>
    <col min="8" max="8" width="12.28515625" bestFit="1" customWidth="1"/>
    <col min="9" max="9" width="11.5703125" bestFit="1" customWidth="1"/>
    <col min="10" max="10" width="13.42578125" bestFit="1" customWidth="1"/>
    <col min="11" max="11" width="15" bestFit="1" customWidth="1"/>
    <col min="14" max="14" width="15.85546875" bestFit="1" customWidth="1"/>
    <col min="15" max="15" width="14.5703125" customWidth="1"/>
  </cols>
  <sheetData>
    <row r="1" spans="1:15" x14ac:dyDescent="0.25">
      <c r="A1" s="3" t="s">
        <v>0</v>
      </c>
      <c r="B1" s="3" t="s">
        <v>20</v>
      </c>
      <c r="C1" s="3" t="s">
        <v>1</v>
      </c>
      <c r="D1" s="3" t="s">
        <v>2</v>
      </c>
      <c r="E1" s="3" t="s">
        <v>3</v>
      </c>
      <c r="F1" s="3" t="s">
        <v>4</v>
      </c>
      <c r="G1" s="3" t="s">
        <v>5</v>
      </c>
      <c r="H1" s="4" t="s">
        <v>6</v>
      </c>
      <c r="I1" s="4" t="s">
        <v>7</v>
      </c>
      <c r="J1" s="4" t="s">
        <v>43</v>
      </c>
      <c r="K1" s="5" t="s">
        <v>44</v>
      </c>
      <c r="N1" s="7" t="s">
        <v>45</v>
      </c>
      <c r="O1" s="8" t="s">
        <v>51</v>
      </c>
    </row>
    <row r="2" spans="1:15" x14ac:dyDescent="0.25">
      <c r="A2" t="s">
        <v>8</v>
      </c>
      <c r="B2" s="1">
        <v>46027</v>
      </c>
      <c r="C2" t="s">
        <v>21</v>
      </c>
      <c r="D2" t="s">
        <v>33</v>
      </c>
      <c r="E2" t="s">
        <v>37</v>
      </c>
      <c r="F2" t="s">
        <v>41</v>
      </c>
      <c r="G2">
        <v>2</v>
      </c>
      <c r="H2" s="2">
        <v>90000</v>
      </c>
      <c r="I2" s="2">
        <v>76000</v>
      </c>
      <c r="J2" s="2">
        <f>Table1[[#This Row],[SALES]]-Table1[[#This Row],[COST]]</f>
        <v>14000</v>
      </c>
      <c r="K2" s="6">
        <f>Table1[[#This Row],[PROFIT]]/Table1[[#This Row],[SALES]]</f>
        <v>0.15555555555555556</v>
      </c>
      <c r="N2" t="s">
        <v>46</v>
      </c>
      <c r="O2" s="2">
        <f>SUM(Table1[SALES])</f>
        <v>408500</v>
      </c>
    </row>
    <row r="3" spans="1:15" x14ac:dyDescent="0.25">
      <c r="A3" t="s">
        <v>9</v>
      </c>
      <c r="B3" s="1">
        <v>46030</v>
      </c>
      <c r="C3" t="s">
        <v>22</v>
      </c>
      <c r="D3" t="s">
        <v>34</v>
      </c>
      <c r="E3" t="s">
        <v>38</v>
      </c>
      <c r="F3" t="s">
        <v>42</v>
      </c>
      <c r="G3">
        <v>5</v>
      </c>
      <c r="H3" s="2">
        <v>5000</v>
      </c>
      <c r="I3" s="2">
        <v>3000</v>
      </c>
      <c r="J3" s="2">
        <f>Table1[[#This Row],[SALES]]-Table1[[#This Row],[COST]]</f>
        <v>2000</v>
      </c>
      <c r="K3" s="6">
        <f>Table1[[#This Row],[PROFIT]]/Table1[[#This Row],[SALES]]</f>
        <v>0.4</v>
      </c>
      <c r="N3" t="s">
        <v>47</v>
      </c>
      <c r="O3" s="2">
        <f>SUM(Table1[COST])</f>
        <v>332100</v>
      </c>
    </row>
    <row r="4" spans="1:15" x14ac:dyDescent="0.25">
      <c r="A4" t="s">
        <v>10</v>
      </c>
      <c r="B4" s="1">
        <v>46034</v>
      </c>
      <c r="C4" t="s">
        <v>23</v>
      </c>
      <c r="D4" t="s">
        <v>35</v>
      </c>
      <c r="E4" t="s">
        <v>39</v>
      </c>
      <c r="F4" t="s">
        <v>42</v>
      </c>
      <c r="G4">
        <v>3</v>
      </c>
      <c r="H4" s="2">
        <v>4500</v>
      </c>
      <c r="I4" s="2">
        <v>2700</v>
      </c>
      <c r="J4" s="2">
        <f>Table1[[#This Row],[SALES]]-Table1[[#This Row],[COST]]</f>
        <v>1800</v>
      </c>
      <c r="K4" s="6">
        <f>Table1[[#This Row],[PROFIT]]/Table1[[#This Row],[SALES]]</f>
        <v>0.4</v>
      </c>
      <c r="N4" t="s">
        <v>48</v>
      </c>
      <c r="O4" s="2">
        <f>SUM(Table1[PROFIT])</f>
        <v>76400</v>
      </c>
    </row>
    <row r="5" spans="1:15" x14ac:dyDescent="0.25">
      <c r="A5" t="s">
        <v>11</v>
      </c>
      <c r="B5" s="1">
        <v>46040</v>
      </c>
      <c r="C5" t="s">
        <v>24</v>
      </c>
      <c r="D5" t="s">
        <v>36</v>
      </c>
      <c r="E5" t="s">
        <v>40</v>
      </c>
      <c r="F5" t="s">
        <v>41</v>
      </c>
      <c r="G5">
        <v>2</v>
      </c>
      <c r="H5" s="2">
        <v>30000</v>
      </c>
      <c r="I5" s="2">
        <v>24000</v>
      </c>
      <c r="J5" s="2">
        <f>Table1[[#This Row],[SALES]]-Table1[[#This Row],[COST]]</f>
        <v>6000</v>
      </c>
      <c r="K5" s="6">
        <f>Table1[[#This Row],[PROFIT]]/Table1[[#This Row],[SALES]]</f>
        <v>0.2</v>
      </c>
      <c r="N5" t="s">
        <v>49</v>
      </c>
      <c r="O5" s="2">
        <f>COUNTA(Table1[ORDER ID])</f>
        <v>12</v>
      </c>
    </row>
    <row r="6" spans="1:15" x14ac:dyDescent="0.25">
      <c r="A6" t="s">
        <v>12</v>
      </c>
      <c r="B6" s="1">
        <v>46047</v>
      </c>
      <c r="C6" t="s">
        <v>25</v>
      </c>
      <c r="D6" t="s">
        <v>33</v>
      </c>
      <c r="E6" t="s">
        <v>37</v>
      </c>
      <c r="F6" t="s">
        <v>41</v>
      </c>
      <c r="G6">
        <v>1</v>
      </c>
      <c r="H6" s="2">
        <v>45000</v>
      </c>
      <c r="I6" s="2">
        <v>38000</v>
      </c>
      <c r="J6" s="2">
        <f>Table1[[#This Row],[SALES]]-Table1[[#This Row],[COST]]</f>
        <v>7000</v>
      </c>
      <c r="K6" s="6">
        <f>Table1[[#This Row],[PROFIT]]/Table1[[#This Row],[SALES]]</f>
        <v>0.15555555555555556</v>
      </c>
      <c r="N6" t="s">
        <v>50</v>
      </c>
      <c r="O6" s="9">
        <f>AVERAGE(Table1[SALES])</f>
        <v>34041.666666666664</v>
      </c>
    </row>
    <row r="7" spans="1:15" x14ac:dyDescent="0.25">
      <c r="A7" t="s">
        <v>13</v>
      </c>
      <c r="B7" s="1">
        <v>46056</v>
      </c>
      <c r="C7" t="s">
        <v>26</v>
      </c>
      <c r="D7" t="s">
        <v>35</v>
      </c>
      <c r="E7" t="s">
        <v>38</v>
      </c>
      <c r="F7" t="s">
        <v>42</v>
      </c>
      <c r="G7">
        <v>8</v>
      </c>
      <c r="H7" s="2">
        <v>8000</v>
      </c>
      <c r="I7" s="2">
        <v>4800</v>
      </c>
      <c r="J7" s="2">
        <f>Table1[[#This Row],[SALES]]-Table1[[#This Row],[COST]]</f>
        <v>3200</v>
      </c>
      <c r="K7" s="6">
        <f>Table1[[#This Row],[PROFIT]]/Table1[[#This Row],[SALES]]</f>
        <v>0.4</v>
      </c>
    </row>
    <row r="8" spans="1:15" x14ac:dyDescent="0.25">
      <c r="A8" t="s">
        <v>14</v>
      </c>
      <c r="B8" s="1">
        <v>46063</v>
      </c>
      <c r="C8" t="s">
        <v>27</v>
      </c>
      <c r="D8" t="s">
        <v>34</v>
      </c>
      <c r="E8" t="s">
        <v>40</v>
      </c>
      <c r="F8" t="s">
        <v>41</v>
      </c>
      <c r="G8">
        <v>3</v>
      </c>
      <c r="H8" s="2">
        <v>45000</v>
      </c>
      <c r="I8" s="2">
        <v>36000</v>
      </c>
      <c r="J8" s="2">
        <f>Table1[[#This Row],[SALES]]-Table1[[#This Row],[COST]]</f>
        <v>9000</v>
      </c>
      <c r="K8" s="6">
        <f>Table1[[#This Row],[PROFIT]]/Table1[[#This Row],[SALES]]</f>
        <v>0.2</v>
      </c>
    </row>
    <row r="9" spans="1:15" x14ac:dyDescent="0.25">
      <c r="A9" t="s">
        <v>15</v>
      </c>
      <c r="B9" s="1">
        <v>46070</v>
      </c>
      <c r="C9" t="s">
        <v>28</v>
      </c>
      <c r="D9" t="s">
        <v>36</v>
      </c>
      <c r="E9" t="s">
        <v>39</v>
      </c>
      <c r="F9" t="s">
        <v>42</v>
      </c>
      <c r="G9">
        <v>4</v>
      </c>
      <c r="H9" s="2">
        <v>6000</v>
      </c>
      <c r="I9" s="2">
        <v>3600</v>
      </c>
      <c r="J9" s="2">
        <f>Table1[[#This Row],[SALES]]-Table1[[#This Row],[COST]]</f>
        <v>2400</v>
      </c>
      <c r="K9" s="6">
        <f>Table1[[#This Row],[PROFIT]]/Table1[[#This Row],[SALES]]</f>
        <v>0.4</v>
      </c>
    </row>
    <row r="10" spans="1:15" x14ac:dyDescent="0.25">
      <c r="A10" t="s">
        <v>16</v>
      </c>
      <c r="B10" s="1">
        <v>46077</v>
      </c>
      <c r="C10" t="s">
        <v>29</v>
      </c>
      <c r="D10" t="s">
        <v>33</v>
      </c>
      <c r="E10" t="s">
        <v>37</v>
      </c>
      <c r="F10" t="s">
        <v>41</v>
      </c>
      <c r="G10">
        <v>2</v>
      </c>
      <c r="H10" s="2">
        <v>90000</v>
      </c>
      <c r="I10" s="2">
        <v>76000</v>
      </c>
      <c r="J10" s="2">
        <f>Table1[[#This Row],[SALES]]-Table1[[#This Row],[COST]]</f>
        <v>14000</v>
      </c>
      <c r="K10" s="6">
        <f>Table1[[#This Row],[PROFIT]]/Table1[[#This Row],[SALES]]</f>
        <v>0.15555555555555556</v>
      </c>
    </row>
    <row r="11" spans="1:15" x14ac:dyDescent="0.25">
      <c r="A11" t="s">
        <v>17</v>
      </c>
      <c r="B11" s="1">
        <v>46086</v>
      </c>
      <c r="C11" t="s">
        <v>30</v>
      </c>
      <c r="D11" t="s">
        <v>34</v>
      </c>
      <c r="E11" t="s">
        <v>38</v>
      </c>
      <c r="F11" t="s">
        <v>42</v>
      </c>
      <c r="G11">
        <v>10</v>
      </c>
      <c r="H11" s="2">
        <v>10000</v>
      </c>
      <c r="I11" s="2">
        <v>6000</v>
      </c>
      <c r="J11" s="2">
        <f>Table1[[#This Row],[SALES]]-Table1[[#This Row],[COST]]</f>
        <v>4000</v>
      </c>
      <c r="K11" s="6">
        <f>Table1[[#This Row],[PROFIT]]/Table1[[#This Row],[SALES]]</f>
        <v>0.4</v>
      </c>
    </row>
    <row r="12" spans="1:15" x14ac:dyDescent="0.25">
      <c r="A12" t="s">
        <v>18</v>
      </c>
      <c r="B12" s="1">
        <v>46093</v>
      </c>
      <c r="C12" t="s">
        <v>31</v>
      </c>
      <c r="D12" t="s">
        <v>35</v>
      </c>
      <c r="E12" t="s">
        <v>40</v>
      </c>
      <c r="F12" t="s">
        <v>41</v>
      </c>
      <c r="G12">
        <v>2</v>
      </c>
      <c r="H12" s="2">
        <v>30000</v>
      </c>
      <c r="I12" s="2">
        <v>24000</v>
      </c>
      <c r="J12" s="2">
        <f>Table1[[#This Row],[SALES]]-Table1[[#This Row],[COST]]</f>
        <v>6000</v>
      </c>
      <c r="K12" s="6">
        <f>Table1[[#This Row],[PROFIT]]/Table1[[#This Row],[SALES]]</f>
        <v>0.2</v>
      </c>
    </row>
    <row r="13" spans="1:15" x14ac:dyDescent="0.25">
      <c r="A13" t="s">
        <v>19</v>
      </c>
      <c r="B13" s="1">
        <v>46101</v>
      </c>
      <c r="C13" t="s">
        <v>32</v>
      </c>
      <c r="D13" t="s">
        <v>36</v>
      </c>
      <c r="E13" t="s">
        <v>37</v>
      </c>
      <c r="F13" t="s">
        <v>41</v>
      </c>
      <c r="G13">
        <v>1</v>
      </c>
      <c r="H13" s="2">
        <v>45000</v>
      </c>
      <c r="I13" s="2">
        <v>38000</v>
      </c>
      <c r="J13" s="2">
        <f>Table1[[#This Row],[SALES]]-Table1[[#This Row],[COST]]</f>
        <v>7000</v>
      </c>
      <c r="K13" s="6">
        <f>Table1[[#This Row],[PROFIT]]/Table1[[#This Row],[SALES]]</f>
        <v>0.15555555555555556</v>
      </c>
    </row>
  </sheetData>
  <phoneticPr fontId="2"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Region Sales</vt:lpstr>
      <vt:lpstr>Dashboard</vt:lpstr>
      <vt:lpstr>Product Sales</vt:lpstr>
      <vt:lpstr>Category Profit</vt:lpstr>
      <vt:lpstr>Region Profit</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Tiwari</dc:creator>
  <cp:lastModifiedBy>Pankaj Tiwari</cp:lastModifiedBy>
  <dcterms:created xsi:type="dcterms:W3CDTF">2026-09-20T06:01:35Z</dcterms:created>
  <dcterms:modified xsi:type="dcterms:W3CDTF">2026-09-21T08:30:18Z</dcterms:modified>
</cp:coreProperties>
</file>